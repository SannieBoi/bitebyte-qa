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cases'!$A$1:$L$59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B53"/>
      </patternFill>
    </fill>
  </fills>
  <borders count="2">
    <border>
      <left/>
      <right/>
      <top/>
      <bottom/>
      <diagonal/>
    </border>
    <border>
      <left style="thin">
        <color rgb="FFBCCCDC"/>
      </left>
      <right style="thin">
        <color rgb="FFBCCCDC"/>
      </right>
      <top style="thin">
        <color rgb="FFBCCCDC"/>
      </top>
      <bottom style="thin">
        <color rgb="FFBCCCDC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/>
  </cellStyles>
  <dxfs count="3">
    <dxf>
      <fill>
        <patternFill patternType="solid">
          <fgColor rgb="FFFEEBC8"/>
        </patternFill>
      </fill>
    </dxf>
    <dxf>
      <fill>
        <patternFill patternType="solid">
          <fgColor rgb="FFFED7D7"/>
        </patternFill>
      </fill>
    </dxf>
    <dxf>
      <fill>
        <patternFill patternType="solid">
          <fgColor rgb="FFC6F6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tabSelected="1" workbookViewId="0">
      <pane xSplit="2" ySplit="1" topLeftCell="E50" activePane="bottomRight" state="frozen"/>
      <selection pane="topRight" activeCell="A1" sqref="A1"/>
      <selection pane="bottomLeft" activeCell="A1" sqref="A1"/>
      <selection pane="bottomRight" activeCell="L59" sqref="L59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6" customWidth="1" min="4" max="4"/>
    <col width="38" customWidth="1" min="5" max="5"/>
    <col width="24" customWidth="1" min="6" max="6"/>
    <col width="40" customWidth="1" min="7" max="7"/>
    <col width="30" customWidth="1" min="8" max="8"/>
    <col width="11" customWidth="1" min="9" max="9"/>
    <col width="10" customWidth="1" min="10" max="11"/>
    <col width="12.85546875" customWidth="1" min="12" max="12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Bug ID</t>
        </is>
      </c>
      <c r="L1" s="1" t="inlineStr">
        <is>
          <t>Environment</t>
        </is>
      </c>
    </row>
    <row r="2" ht="60" customHeight="1">
      <c r="A2" s="2" t="inlineStr">
        <is>
          <t>SU-01</t>
        </is>
      </c>
      <c r="B2" s="2" t="inlineStr">
        <is>
          <t>Sign up</t>
        </is>
      </c>
      <c r="C2" s="2" t="inlineStr">
        <is>
          <t>Register with valid data</t>
        </is>
      </c>
      <c r="D2" s="2" t="inlineStr">
        <is>
          <t>On signup page; email and username not used before</t>
        </is>
      </c>
      <c r="E2" s="2" t="inlineStr">
        <is>
          <t>1. Fill all fields with valid data
2. Click Sign up</t>
        </is>
      </c>
      <c r="F2" s="2" t="inlineStr">
        <is>
          <t>Username: qa_tester1
Email: qa.tester1@test.com
Password: Test@1234</t>
        </is>
      </c>
      <c r="G2" s="2" t="inlineStr">
        <is>
          <t>Redirected to login page; new user exists in users table (SQL check Q1)</t>
        </is>
      </c>
      <c r="H2" s="2" t="inlineStr">
        <is>
          <t>As expected.</t>
        </is>
      </c>
      <c r="I2" s="2" t="inlineStr">
        <is>
          <t>Pass</t>
        </is>
      </c>
      <c r="J2" s="2" t="inlineStr">
        <is>
          <t>High</t>
        </is>
      </c>
      <c r="K2" s="2" t="n"/>
      <c r="L2" s="2" t="inlineStr">
        <is>
          <t>E1</t>
        </is>
      </c>
    </row>
    <row r="3" ht="30" customHeight="1">
      <c r="A3" s="2" t="inlineStr">
        <is>
          <t>SU-02</t>
        </is>
      </c>
      <c r="B3" s="2" t="inlineStr">
        <is>
          <t>Sign up</t>
        </is>
      </c>
      <c r="C3" s="2" t="inlineStr">
        <is>
          <t>Submit with all fields empty</t>
        </is>
      </c>
      <c r="D3" s="2" t="inlineStr">
        <is>
          <t>On signup page</t>
        </is>
      </c>
      <c r="E3" s="2" t="inlineStr">
        <is>
          <t>1. Leave all fields empty
2. Click Sign up</t>
        </is>
      </c>
      <c r="F3" s="2" t="inlineStr">
        <is>
          <t>-</t>
        </is>
      </c>
      <c r="G3" s="2" t="inlineStr">
        <is>
          <t>Form not submitted; 'is required' error shown under each of the 4 fields</t>
        </is>
      </c>
      <c r="H3" s="2" t="inlineStr">
        <is>
          <t>As expected.</t>
        </is>
      </c>
      <c r="I3" s="2" t="inlineStr">
        <is>
          <t>Pass</t>
        </is>
      </c>
      <c r="J3" s="2" t="inlineStr">
        <is>
          <t>High</t>
        </is>
      </c>
      <c r="K3" s="2" t="n"/>
      <c r="L3" s="2" t="inlineStr">
        <is>
          <t>E1</t>
        </is>
      </c>
    </row>
    <row r="4" ht="45" customHeight="1">
      <c r="A4" s="2" t="inlineStr">
        <is>
          <t>SU-03</t>
        </is>
      </c>
      <c r="B4" s="2" t="inlineStr">
        <is>
          <t>Sign up</t>
        </is>
      </c>
      <c r="C4" s="2" t="inlineStr">
        <is>
          <t>Username shorter than minimum (2 chars)</t>
        </is>
      </c>
      <c r="D4" s="2" t="inlineStr">
        <is>
          <t>On signup page</t>
        </is>
      </c>
      <c r="E4" s="2" t="inlineStr">
        <is>
          <t>1. Enter 2-character username, other fields valid
2. Click Sign up</t>
        </is>
      </c>
      <c r="F4" s="2" t="inlineStr">
        <is>
          <t>Username: ab</t>
        </is>
      </c>
      <c r="G4" s="2" t="inlineStr">
        <is>
          <t>Form not submitted; error says username must be at least 3 characters</t>
        </is>
      </c>
      <c r="H4" s="2" t="inlineStr">
        <is>
          <t>As expected.</t>
        </is>
      </c>
      <c r="I4" s="2" t="inlineStr">
        <is>
          <t>Pass</t>
        </is>
      </c>
      <c r="J4" s="2" t="inlineStr">
        <is>
          <t>Medium</t>
        </is>
      </c>
      <c r="K4" s="2" t="n"/>
      <c r="L4" s="2" t="inlineStr">
        <is>
          <t>E1</t>
        </is>
      </c>
    </row>
    <row r="5" ht="45" customHeight="1">
      <c r="A5" s="2" t="inlineStr">
        <is>
          <t>SU-04</t>
        </is>
      </c>
      <c r="B5" s="2" t="inlineStr">
        <is>
          <t>Sign up</t>
        </is>
      </c>
      <c r="C5" s="2" t="inlineStr">
        <is>
          <t>Username at minimum length (3 chars)</t>
        </is>
      </c>
      <c r="D5" s="2" t="inlineStr">
        <is>
          <t>On signup page</t>
        </is>
      </c>
      <c r="E5" s="2" t="inlineStr">
        <is>
          <t>1. Enter 3-character username, other fields valid
2. Click Sign up</t>
        </is>
      </c>
      <c r="F5" s="2" t="inlineStr">
        <is>
          <t>Username: abc</t>
        </is>
      </c>
      <c r="G5" s="2" t="inlineStr">
        <is>
          <t>Username accepted; account created</t>
        </is>
      </c>
      <c r="H5" s="2" t="inlineStr">
        <is>
          <t>As expected.</t>
        </is>
      </c>
      <c r="I5" s="2" t="inlineStr">
        <is>
          <t>Pass</t>
        </is>
      </c>
      <c r="J5" s="2" t="inlineStr">
        <is>
          <t>Medium</t>
        </is>
      </c>
      <c r="K5" s="2" t="n"/>
      <c r="L5" s="2" t="inlineStr">
        <is>
          <t>E1</t>
        </is>
      </c>
    </row>
    <row r="6" ht="45" customHeight="1">
      <c r="A6" s="2" t="inlineStr">
        <is>
          <t>SU-05</t>
        </is>
      </c>
      <c r="B6" s="2" t="inlineStr">
        <is>
          <t>Sign up</t>
        </is>
      </c>
      <c r="C6" s="2" t="inlineStr">
        <is>
          <t>Username at maximum length (15 chars)</t>
        </is>
      </c>
      <c r="D6" s="2" t="inlineStr">
        <is>
          <t>On signup page</t>
        </is>
      </c>
      <c r="E6" s="2" t="inlineStr">
        <is>
          <t>1. Enter 15-character username, other fields valid
2. Click Sign up</t>
        </is>
      </c>
      <c r="F6" s="2" t="inlineStr">
        <is>
          <t>Username: abcdefghijklmno</t>
        </is>
      </c>
      <c r="G6" s="2" t="inlineStr">
        <is>
          <t>Username accepted; account created</t>
        </is>
      </c>
      <c r="H6" s="2" t="inlineStr">
        <is>
          <t>As expected.</t>
        </is>
      </c>
      <c r="I6" s="2" t="inlineStr">
        <is>
          <t>Pass</t>
        </is>
      </c>
      <c r="J6" s="2" t="inlineStr">
        <is>
          <t>Medium</t>
        </is>
      </c>
      <c r="K6" s="2" t="n"/>
      <c r="L6" s="2" t="inlineStr">
        <is>
          <t>E1</t>
        </is>
      </c>
    </row>
    <row r="7" ht="45" customHeight="1">
      <c r="A7" s="2" t="inlineStr">
        <is>
          <t>SU-06</t>
        </is>
      </c>
      <c r="B7" s="2" t="inlineStr">
        <is>
          <t>Sign up</t>
        </is>
      </c>
      <c r="C7" s="2" t="inlineStr">
        <is>
          <t>Username over maximum length (16 chars)</t>
        </is>
      </c>
      <c r="D7" s="2" t="inlineStr">
        <is>
          <t>On signup page</t>
        </is>
      </c>
      <c r="E7" s="2" t="inlineStr">
        <is>
          <t>1. Enter 16-character username
2. Read the error message</t>
        </is>
      </c>
      <c r="F7" s="2" t="inlineStr">
        <is>
          <t>Username: abcdefghijklmnop</t>
        </is>
      </c>
      <c r="G7" s="2" t="inlineStr">
        <is>
          <t>Form not submitted; error message correctly states the allowed maximum (15 characters)</t>
        </is>
      </c>
      <c r="H7" s="2" t="inlineStr">
        <is>
          <t>Form not submitted, but the error says 'Username must be less than 15 characters' although 15 characters is allowed (SU-05). Message suggests a maximum of 14.</t>
        </is>
      </c>
      <c r="I7" s="2" t="inlineStr">
        <is>
          <t>Fail</t>
        </is>
      </c>
      <c r="J7" s="2" t="inlineStr">
        <is>
          <t>Medium</t>
        </is>
      </c>
      <c r="K7" s="2" t="inlineStr">
        <is>
          <t>BUG-017</t>
        </is>
      </c>
      <c r="L7" s="2" t="inlineStr">
        <is>
          <t>E1</t>
        </is>
      </c>
    </row>
    <row r="8" ht="60" customHeight="1">
      <c r="A8" s="2" t="inlineStr">
        <is>
          <t>SU-07</t>
        </is>
      </c>
      <c r="B8" s="2" t="inlineStr">
        <is>
          <t>Sign up</t>
        </is>
      </c>
      <c r="C8" s="2" t="inlineStr">
        <is>
          <t>Invalid email formats</t>
        </is>
      </c>
      <c r="D8" s="2" t="inlineStr">
        <is>
          <t>On signup page</t>
        </is>
      </c>
      <c r="E8" s="2" t="inlineStr">
        <is>
          <t>1. Enter each invalid email, other fields valid
2. Click Sign up after each</t>
        </is>
      </c>
      <c r="F8" s="2" t="inlineStr">
        <is>
          <t>test@
test.com
test@mail
test @mail.com</t>
        </is>
      </c>
      <c r="G8" s="2" t="inlineStr">
        <is>
          <t>Each one rejected with 'Email is not valid'</t>
        </is>
      </c>
      <c r="H8" s="2" t="inlineStr">
        <is>
          <t>As expected.</t>
        </is>
      </c>
      <c r="I8" s="2" t="inlineStr">
        <is>
          <t>Pass</t>
        </is>
      </c>
      <c r="J8" s="2" t="inlineStr">
        <is>
          <t>High</t>
        </is>
      </c>
      <c r="K8" s="2" t="n"/>
      <c r="L8" s="2" t="inlineStr">
        <is>
          <t>E1</t>
        </is>
      </c>
    </row>
    <row r="9" ht="45" customHeight="1">
      <c r="A9" s="2" t="inlineStr">
        <is>
          <t>SU-08</t>
        </is>
      </c>
      <c r="B9" s="2" t="inlineStr">
        <is>
          <t>Sign up</t>
        </is>
      </c>
      <c r="C9" s="2" t="inlineStr">
        <is>
          <t>Password shorter than 8 characters</t>
        </is>
      </c>
      <c r="D9" s="2" t="inlineStr">
        <is>
          <t>On signup page</t>
        </is>
      </c>
      <c r="E9" s="2" t="inlineStr">
        <is>
          <t>1. Enter 7-char password meeting all other rules
2. Click Sign up</t>
        </is>
      </c>
      <c r="F9" s="2" t="inlineStr">
        <is>
          <t>Password: Te@1234</t>
        </is>
      </c>
      <c r="G9" s="2" t="inlineStr">
        <is>
          <t>Form not submitted; 'At least 8 characters' rule stays unchecked</t>
        </is>
      </c>
      <c r="H9" s="2" t="inlineStr">
        <is>
          <t>As expected.</t>
        </is>
      </c>
      <c r="I9" s="2" t="inlineStr">
        <is>
          <t>Pass</t>
        </is>
      </c>
      <c r="J9" s="2" t="inlineStr">
        <is>
          <t>High</t>
        </is>
      </c>
      <c r="K9" s="2" t="n"/>
      <c r="L9" s="2" t="inlineStr">
        <is>
          <t>E1</t>
        </is>
      </c>
    </row>
    <row r="10" ht="45" customHeight="1">
      <c r="A10" s="2" t="inlineStr">
        <is>
          <t>SU-09</t>
        </is>
      </c>
      <c r="B10" s="2" t="inlineStr">
        <is>
          <t>Sign up</t>
        </is>
      </c>
      <c r="C10" s="2" t="inlineStr">
        <is>
          <t>Password at minimum length (8 chars)</t>
        </is>
      </c>
      <c r="D10" s="2" t="inlineStr">
        <is>
          <t>On signup page</t>
        </is>
      </c>
      <c r="E10" s="2" t="inlineStr">
        <is>
          <t>1. Enter 8-char password meeting all rules
2. Click Sign up</t>
        </is>
      </c>
      <c r="F10" s="2" t="inlineStr">
        <is>
          <t>Password: Te@12345</t>
        </is>
      </c>
      <c r="G10" s="2" t="inlineStr">
        <is>
          <t>Password accepted; account created</t>
        </is>
      </c>
      <c r="H10" s="2" t="inlineStr">
        <is>
          <t>As expected.</t>
        </is>
      </c>
      <c r="I10" s="2" t="inlineStr">
        <is>
          <t>Pass</t>
        </is>
      </c>
      <c r="J10" s="2" t="inlineStr">
        <is>
          <t>Medium</t>
        </is>
      </c>
      <c r="K10" s="2" t="n"/>
      <c r="L10" s="2" t="inlineStr">
        <is>
          <t>E1</t>
        </is>
      </c>
    </row>
    <row r="11" ht="90" customHeight="1">
      <c r="A11" s="2" t="inlineStr">
        <is>
          <t>SU-10</t>
        </is>
      </c>
      <c r="B11" s="2" t="inlineStr">
        <is>
          <t>Sign up</t>
        </is>
      </c>
      <c r="C11" s="2" t="inlineStr">
        <is>
          <t>Password missing one required character type</t>
        </is>
      </c>
      <c r="D11" s="2" t="inlineStr">
        <is>
          <t>On signup page</t>
        </is>
      </c>
      <c r="E11" s="2" t="inlineStr">
        <is>
          <t>1. Enter each password
2. Watch the rules checklist
3. Click Sign up</t>
        </is>
      </c>
      <c r="F11" s="2" t="inlineStr">
        <is>
          <t>test@1234 (no uppercase)
TEST@1234 (no lowercase)
Test@abcd (no number)
Test12345 (no symbol)</t>
        </is>
      </c>
      <c r="G11" s="2" t="inlineStr">
        <is>
          <t>Each rejected; the matching rule stays unchecked in the checklist</t>
        </is>
      </c>
      <c r="H11" s="2" t="inlineStr">
        <is>
          <t>As expected.</t>
        </is>
      </c>
      <c r="I11" s="2" t="inlineStr">
        <is>
          <t>Pass</t>
        </is>
      </c>
      <c r="J11" s="2" t="inlineStr">
        <is>
          <t>High</t>
        </is>
      </c>
      <c r="K11" s="2" t="n"/>
      <c r="L11" s="2" t="inlineStr">
        <is>
          <t>E1</t>
        </is>
      </c>
    </row>
    <row r="12" ht="45" customHeight="1">
      <c r="A12" s="2" t="inlineStr">
        <is>
          <t>SU-11</t>
        </is>
      </c>
      <c r="B12" s="2" t="inlineStr">
        <is>
          <t>Sign up</t>
        </is>
      </c>
      <c r="C12" s="2" t="inlineStr">
        <is>
          <t>Password rules checklist updates live</t>
        </is>
      </c>
      <c r="D12" s="2" t="inlineStr">
        <is>
          <t>On signup page</t>
        </is>
      </c>
      <c r="E12" s="2" t="inlineStr">
        <is>
          <t>1. Click into Password
2. Type T, e, @, 1... one character at a time</t>
        </is>
      </c>
      <c r="F12" s="2" t="inlineStr">
        <is>
          <t>Test@1234</t>
        </is>
      </c>
      <c r="G12" s="2" t="inlineStr">
        <is>
          <t>Checklist appears on focus; each rule turns green as soon as it is met; hides on blur</t>
        </is>
      </c>
      <c r="H12" s="2" t="inlineStr">
        <is>
          <t>As expected.</t>
        </is>
      </c>
      <c r="I12" s="2" t="inlineStr">
        <is>
          <t>Pass</t>
        </is>
      </c>
      <c r="J12" s="2" t="inlineStr">
        <is>
          <t>Low</t>
        </is>
      </c>
      <c r="K12" s="2" t="n"/>
      <c r="L12" s="2" t="inlineStr">
        <is>
          <t>E1</t>
        </is>
      </c>
    </row>
    <row r="13" ht="45" customHeight="1">
      <c r="A13" s="2" t="inlineStr">
        <is>
          <t>SU-12</t>
        </is>
      </c>
      <c r="B13" s="2" t="inlineStr">
        <is>
          <t>Sign up</t>
        </is>
      </c>
      <c r="C13" s="2" t="inlineStr">
        <is>
          <t>Confirm password does not match</t>
        </is>
      </c>
      <c r="D13" s="2" t="inlineStr">
        <is>
          <t>On signup page</t>
        </is>
      </c>
      <c r="E13" s="2" t="inlineStr">
        <is>
          <t>1. Enter valid password
2. Enter different confirm password
3. Click Sign up</t>
        </is>
      </c>
      <c r="F13" s="2" t="inlineStr">
        <is>
          <t>Test@1234 / Test@1235</t>
        </is>
      </c>
      <c r="G13" s="2" t="inlineStr">
        <is>
          <t>Form not submitted; 'Passwords do not match' shown</t>
        </is>
      </c>
      <c r="H13" s="2" t="inlineStr">
        <is>
          <t>As expected.</t>
        </is>
      </c>
      <c r="I13" s="2" t="inlineStr">
        <is>
          <t>Pass</t>
        </is>
      </c>
      <c r="J13" s="2" t="inlineStr">
        <is>
          <t>High</t>
        </is>
      </c>
      <c r="K13" s="2" t="n"/>
      <c r="L13" s="2" t="inlineStr">
        <is>
          <t>E1</t>
        </is>
      </c>
    </row>
    <row r="14" ht="45" customHeight="1">
      <c r="A14" s="2" t="inlineStr">
        <is>
          <t>SU-13</t>
        </is>
      </c>
      <c r="B14" s="2" t="inlineStr">
        <is>
          <t>Sign up</t>
        </is>
      </c>
      <c r="C14" s="2" t="inlineStr">
        <is>
          <t>Register with an email already in use</t>
        </is>
      </c>
      <c r="D14" s="2" t="inlineStr">
        <is>
          <t>User from SU-01 exists</t>
        </is>
      </c>
      <c r="E14" s="2" t="inlineStr">
        <is>
          <t>1. Fill form using SU-01's email and a new username
2. Click Sign up</t>
        </is>
      </c>
      <c r="F14" s="2" t="inlineStr">
        <is>
          <t>Email: qa.tester1@test.com</t>
        </is>
      </c>
      <c r="G14" s="2" t="inlineStr">
        <is>
          <t>Account not created; clear error message shown; still only 1 user with that email (SQL check Q2)</t>
        </is>
      </c>
      <c r="H14" s="2" t="inlineStr">
        <is>
          <t>Account not created; still 1 user with that email. Error shown: 'Korisničko ime ili email su već u upotrebi.' (Serbian, see SU-16).</t>
        </is>
      </c>
      <c r="I14" s="2" t="inlineStr">
        <is>
          <t>Pass</t>
        </is>
      </c>
      <c r="J14" s="2" t="inlineStr">
        <is>
          <t>High</t>
        </is>
      </c>
      <c r="K14" s="2" t="n"/>
      <c r="L14" s="2" t="inlineStr">
        <is>
          <t>E1</t>
        </is>
      </c>
    </row>
    <row r="15" ht="45" customHeight="1">
      <c r="A15" s="2" t="inlineStr">
        <is>
          <t>SU-14</t>
        </is>
      </c>
      <c r="B15" s="2" t="inlineStr">
        <is>
          <t>Sign up</t>
        </is>
      </c>
      <c r="C15" s="2" t="inlineStr">
        <is>
          <t>Register with a username already in use</t>
        </is>
      </c>
      <c r="D15" s="2" t="inlineStr">
        <is>
          <t>User from SU-01 exists</t>
        </is>
      </c>
      <c r="E15" s="2" t="inlineStr">
        <is>
          <t>1. Fill form using SU-01's username and a new email
2. Click Sign up</t>
        </is>
      </c>
      <c r="F15" s="2" t="inlineStr">
        <is>
          <t>Username: qa_tester1</t>
        </is>
      </c>
      <c r="G15" s="2" t="inlineStr">
        <is>
          <t>Account not created; clear error message shown</t>
        </is>
      </c>
      <c r="H15" s="2" t="inlineStr">
        <is>
          <t>Account not created; same error message as SU-13.</t>
        </is>
      </c>
      <c r="I15" s="2" t="inlineStr">
        <is>
          <t>Pass</t>
        </is>
      </c>
      <c r="J15" s="2" t="inlineStr">
        <is>
          <t>High</t>
        </is>
      </c>
      <c r="K15" s="2" t="n"/>
      <c r="L15" s="2" t="inlineStr">
        <is>
          <t>E1</t>
        </is>
      </c>
    </row>
    <row r="16" ht="45" customHeight="1">
      <c r="A16" s="2" t="inlineStr">
        <is>
          <t>SU-15</t>
        </is>
      </c>
      <c r="B16" s="2" t="inlineStr">
        <is>
          <t>Sign up</t>
        </is>
      </c>
      <c r="C16" s="2" t="inlineStr">
        <is>
          <t>Server-side validation with JavaScript disabled</t>
        </is>
      </c>
      <c r="D16" s="2" t="inlineStr">
        <is>
          <t>JavaScript disabled in browser (DevTools &gt; Settings &gt; Debugger)</t>
        </is>
      </c>
      <c r="E16" s="2" t="inlineStr">
        <is>
          <t>1. Submit signup with: weak password, 1-char username
2. Re-enable JavaScript afterwards</t>
        </is>
      </c>
      <c r="F16" s="2" t="inlineStr">
        <is>
          <t>Username: a
Password: abc</t>
        </is>
      </c>
      <c r="G16" s="2" t="inlineStr">
        <is>
          <t>Server rejects the input; no account is created with invalid data</t>
        </is>
      </c>
      <c r="H16" s="2" t="inlineStr">
        <is>
          <t>Server accepted the input: account created with username 'a' and password 'abc'; redirected to login page.</t>
        </is>
      </c>
      <c r="I16" s="2" t="inlineStr">
        <is>
          <t>Fail</t>
        </is>
      </c>
      <c r="J16" s="2" t="inlineStr">
        <is>
          <t>High</t>
        </is>
      </c>
      <c r="K16" s="2" t="inlineStr">
        <is>
          <t>BUG-003</t>
        </is>
      </c>
      <c r="L16" s="2" t="inlineStr">
        <is>
          <t>E1</t>
        </is>
      </c>
    </row>
    <row r="17" ht="75" customHeight="1">
      <c r="A17" s="2" t="inlineStr">
        <is>
          <t>SU-16</t>
        </is>
      </c>
      <c r="B17" s="2" t="inlineStr">
        <is>
          <t>Sign up</t>
        </is>
      </c>
      <c r="C17" s="2" t="inlineStr">
        <is>
          <t>Error messages are in one consistent language</t>
        </is>
      </c>
      <c r="D17" s="2" t="inlineStr">
        <is>
          <t>On signup page</t>
        </is>
      </c>
      <c r="E17" s="2" t="inlineStr">
        <is>
          <t>1. Trigger client-side errors (empty fields)
2. Trigger server-side errors (duplicate email)
3. Compare languages</t>
        </is>
      </c>
      <c r="F17" s="2" t="inlineStr">
        <is>
          <t>-</t>
        </is>
      </c>
      <c r="G17" s="2" t="inlineStr">
        <is>
          <t>All messages use the same language as the rest of the UI</t>
        </is>
      </c>
      <c r="H17" s="2" t="inlineStr">
        <is>
          <t>Mixed languages: client-side errors are English ('Email is required'), server-side errors are Serbian ('Korisničko ime ili email su već u upotrebi.', 'Pogrešan email ili lozinka.').</t>
        </is>
      </c>
      <c r="I17" s="2" t="inlineStr">
        <is>
          <t>Fail</t>
        </is>
      </c>
      <c r="J17" s="2" t="inlineStr">
        <is>
          <t>Low</t>
        </is>
      </c>
      <c r="K17" s="2" t="inlineStr">
        <is>
          <t>BUG-010</t>
        </is>
      </c>
      <c r="L17" s="2" t="inlineStr">
        <is>
          <t>E1</t>
        </is>
      </c>
    </row>
    <row r="18" ht="30" customHeight="1">
      <c r="A18" s="2" t="inlineStr">
        <is>
          <t>SU-17</t>
        </is>
      </c>
      <c r="B18" s="2" t="inlineStr">
        <is>
          <t>Sign up</t>
        </is>
      </c>
      <c r="C18" s="2" t="inlineStr">
        <is>
          <t>Password is stored hashed</t>
        </is>
      </c>
      <c r="D18" s="2" t="inlineStr">
        <is>
          <t>SU-01 passed</t>
        </is>
      </c>
      <c r="E18" s="2" t="inlineStr">
        <is>
          <t>1. Run SQL check Q1</t>
        </is>
      </c>
      <c r="F18" s="2" t="inlineStr">
        <is>
          <t>-</t>
        </is>
      </c>
      <c r="G18" s="2" t="inlineStr">
        <is>
          <t>Pass column holds a bcrypt hash (starts with $2y$), never the plain password</t>
        </is>
      </c>
      <c r="H18" s="2" t="inlineStr">
        <is>
          <t>As expected. Pass starts with $2y$, length 60.</t>
        </is>
      </c>
      <c r="I18" s="2" t="inlineStr">
        <is>
          <t>Pass</t>
        </is>
      </c>
      <c r="J18" s="2" t="inlineStr">
        <is>
          <t>High</t>
        </is>
      </c>
      <c r="K18" s="2" t="n"/>
      <c r="L18" s="2" t="inlineStr">
        <is>
          <t>E1</t>
        </is>
      </c>
    </row>
    <row r="19" ht="30" customHeight="1">
      <c r="A19" s="2" t="inlineStr">
        <is>
          <t>LI-01</t>
        </is>
      </c>
      <c r="B19" s="2" t="inlineStr">
        <is>
          <t>Log in / log out</t>
        </is>
      </c>
      <c r="C19" s="2" t="inlineStr">
        <is>
          <t>Log in with valid credentials</t>
        </is>
      </c>
      <c r="D19" s="2" t="inlineStr">
        <is>
          <t>Registered user exists</t>
        </is>
      </c>
      <c r="E19" s="2" t="inlineStr">
        <is>
          <t>1. Enter registered email and password
2. Click Log in</t>
        </is>
      </c>
      <c r="F19" s="2" t="inlineStr">
        <is>
          <t>qa.tester1@test.com / Test@1234</t>
        </is>
      </c>
      <c r="G19" s="2" t="inlineStr">
        <is>
          <t>Logged in and redirected to the submit recipe page</t>
        </is>
      </c>
      <c r="H19" s="2" t="inlineStr">
        <is>
          <t>As expected.</t>
        </is>
      </c>
      <c r="I19" s="2" t="inlineStr">
        <is>
          <t>Pass</t>
        </is>
      </c>
      <c r="J19" s="2" t="inlineStr">
        <is>
          <t>High</t>
        </is>
      </c>
      <c r="K19" s="2" t="n"/>
      <c r="L19" s="2" t="inlineStr">
        <is>
          <t>E1</t>
        </is>
      </c>
    </row>
    <row r="20" ht="45" customHeight="1">
      <c r="A20" s="2" t="inlineStr">
        <is>
          <t>LI-02</t>
        </is>
      </c>
      <c r="B20" s="2" t="inlineStr">
        <is>
          <t>Log in / log out</t>
        </is>
      </c>
      <c r="C20" s="2" t="inlineStr">
        <is>
          <t>Log in with wrong password</t>
        </is>
      </c>
      <c r="D20" s="2" t="inlineStr">
        <is>
          <t>Registered user exists</t>
        </is>
      </c>
      <c r="E20" s="2" t="inlineStr">
        <is>
          <t>1. Enter registered email, wrong password
2. Click Log in</t>
        </is>
      </c>
      <c r="F20" s="2" t="inlineStr">
        <is>
          <t>qa.tester1@test.com / Wrong@123</t>
        </is>
      </c>
      <c r="G20" s="2" t="inlineStr">
        <is>
          <t>Stays on login page; generic error shown (does not reveal which field is wrong)</t>
        </is>
      </c>
      <c r="H20" s="2" t="inlineStr">
        <is>
          <t>As expected. Generic error 'Pogrešan email ili lozinka.' (Serbian, see SU-16).</t>
        </is>
      </c>
      <c r="I20" s="2" t="inlineStr">
        <is>
          <t>Pass</t>
        </is>
      </c>
      <c r="J20" s="2" t="inlineStr">
        <is>
          <t>High</t>
        </is>
      </c>
      <c r="K20" s="2" t="n"/>
      <c r="L20" s="2" t="inlineStr">
        <is>
          <t>E1</t>
        </is>
      </c>
    </row>
    <row r="21" ht="45" customHeight="1">
      <c r="A21" s="2" t="inlineStr">
        <is>
          <t>LI-03</t>
        </is>
      </c>
      <c r="B21" s="2" t="inlineStr">
        <is>
          <t>Log in / log out</t>
        </is>
      </c>
      <c r="C21" s="2" t="inlineStr">
        <is>
          <t>Log in with unregistered email</t>
        </is>
      </c>
      <c r="D21" s="2" t="inlineStr">
        <is>
          <t>On login page</t>
        </is>
      </c>
      <c r="E21" s="2" t="inlineStr">
        <is>
          <t>1. Enter unregistered email and any password
2. Click Log in</t>
        </is>
      </c>
      <c r="F21" s="2" t="inlineStr">
        <is>
          <t>nobody@test.com / Test@1234</t>
        </is>
      </c>
      <c r="G21" s="2" t="inlineStr">
        <is>
          <t>Stays on login page; same generic error as LI-02</t>
        </is>
      </c>
      <c r="H21" s="2" t="inlineStr">
        <is>
          <t>As expected. Same generic error as LI-02.</t>
        </is>
      </c>
      <c r="I21" s="2" t="inlineStr">
        <is>
          <t>Pass</t>
        </is>
      </c>
      <c r="J21" s="2" t="inlineStr">
        <is>
          <t>Medium</t>
        </is>
      </c>
      <c r="K21" s="2" t="n"/>
      <c r="L21" s="2" t="inlineStr">
        <is>
          <t>E1</t>
        </is>
      </c>
    </row>
    <row r="22" ht="30" customHeight="1">
      <c r="A22" s="2" t="inlineStr">
        <is>
          <t>LI-04</t>
        </is>
      </c>
      <c r="B22" s="2" t="inlineStr">
        <is>
          <t>Log in / log out</t>
        </is>
      </c>
      <c r="C22" s="2" t="inlineStr">
        <is>
          <t>Log in with empty fields</t>
        </is>
      </c>
      <c r="D22" s="2" t="inlineStr">
        <is>
          <t>On login page</t>
        </is>
      </c>
      <c r="E22" s="2" t="inlineStr">
        <is>
          <t>1. Leave fields empty
2. Click Log in</t>
        </is>
      </c>
      <c r="F22" s="2" t="inlineStr">
        <is>
          <t>-</t>
        </is>
      </c>
      <c r="G22" s="2" t="inlineStr">
        <is>
          <t>Form not submitted; required-field message shown</t>
        </is>
      </c>
      <c r="H22" s="2" t="inlineStr">
        <is>
          <t>As expected. Browser blocks submit: 'Please fill out this field.'</t>
        </is>
      </c>
      <c r="I22" s="2" t="inlineStr">
        <is>
          <t>Pass</t>
        </is>
      </c>
      <c r="J22" s="2" t="inlineStr">
        <is>
          <t>Medium</t>
        </is>
      </c>
      <c r="K22" s="2" t="n"/>
      <c r="L22" s="2" t="inlineStr">
        <is>
          <t>E1</t>
        </is>
      </c>
    </row>
    <row r="23" ht="45" customHeight="1">
      <c r="A23" s="2" t="inlineStr">
        <is>
          <t>LI-05</t>
        </is>
      </c>
      <c r="B23" s="2" t="inlineStr">
        <is>
          <t>Log in / log out</t>
        </is>
      </c>
      <c r="C23" s="2" t="inlineStr">
        <is>
          <t>Email is case-insensitive at login</t>
        </is>
      </c>
      <c r="D23" s="2" t="inlineStr">
        <is>
          <t>Registered user exists</t>
        </is>
      </c>
      <c r="E23" s="2" t="inlineStr">
        <is>
          <t>1. Enter email in uppercase with correct password
2. Click Log in</t>
        </is>
      </c>
      <c r="F23" s="2" t="inlineStr">
        <is>
          <t>QA.TESTER1@TEST.COM / Test@1234</t>
        </is>
      </c>
      <c r="G23" s="2" t="inlineStr">
        <is>
          <t>Login succeeds</t>
        </is>
      </c>
      <c r="H23" s="2" t="inlineStr">
        <is>
          <t>As expected.</t>
        </is>
      </c>
      <c r="I23" s="2" t="inlineStr">
        <is>
          <t>Pass</t>
        </is>
      </c>
      <c r="J23" s="2" t="inlineStr">
        <is>
          <t>Low</t>
        </is>
      </c>
      <c r="K23" s="2" t="n"/>
      <c r="L23" s="2" t="inlineStr">
        <is>
          <t>E1</t>
        </is>
      </c>
    </row>
    <row r="24" ht="45" customHeight="1">
      <c r="A24" s="2" t="inlineStr">
        <is>
          <t>LI-06</t>
        </is>
      </c>
      <c r="B24" s="2" t="inlineStr">
        <is>
          <t>Log in / log out</t>
        </is>
      </c>
      <c r="C24" s="2" t="inlineStr">
        <is>
          <t>Log out ends the session</t>
        </is>
      </c>
      <c r="D24" s="2" t="inlineStr">
        <is>
          <t>User is logged in</t>
        </is>
      </c>
      <c r="E24" s="2" t="inlineStr">
        <is>
          <t>1. Click Log out
2. Open submit.php directly in the address bar</t>
        </is>
      </c>
      <c r="F24" s="2" t="inlineStr">
        <is>
          <t>-</t>
        </is>
      </c>
      <c r="G24" s="2" t="inlineStr">
        <is>
          <t>Logged out; submit.php redirects to login page</t>
        </is>
      </c>
      <c r="H24" s="2" t="inlineStr">
        <is>
          <t>No Log out button or link anywhere; header still shows LOG IN / SIGN UP while logged in. Opening logout.php directly does end the session (submit.php then redirects to login).</t>
        </is>
      </c>
      <c r="I24" s="2" t="inlineStr">
        <is>
          <t>Fail</t>
        </is>
      </c>
      <c r="J24" s="2" t="inlineStr">
        <is>
          <t>High</t>
        </is>
      </c>
      <c r="K24" s="2" t="inlineStr">
        <is>
          <t>BUG-004</t>
        </is>
      </c>
      <c r="L24" s="2" t="inlineStr">
        <is>
          <t>E1</t>
        </is>
      </c>
    </row>
    <row r="25" ht="30" customHeight="1">
      <c r="A25" s="2" t="inlineStr">
        <is>
          <t>LI-07</t>
        </is>
      </c>
      <c r="B25" s="2" t="inlineStr">
        <is>
          <t>Log in / log out</t>
        </is>
      </c>
      <c r="C25" s="2" t="inlineStr">
        <is>
          <t>Protected page without logging in</t>
        </is>
      </c>
      <c r="D25" s="2" t="inlineStr">
        <is>
          <t>Not logged in</t>
        </is>
      </c>
      <c r="E25" s="2" t="inlineStr">
        <is>
          <t>1. Open php/submit.php directly in the address bar</t>
        </is>
      </c>
      <c r="F25" s="2" t="inlineStr">
        <is>
          <t>-</t>
        </is>
      </c>
      <c r="G25" s="2" t="inlineStr">
        <is>
          <t>Redirected to login page</t>
        </is>
      </c>
      <c r="H25" s="2" t="inlineStr">
        <is>
          <t>As expected.</t>
        </is>
      </c>
      <c r="I25" s="2" t="inlineStr">
        <is>
          <t>Pass</t>
        </is>
      </c>
      <c r="J25" s="2" t="inlineStr">
        <is>
          <t>High</t>
        </is>
      </c>
      <c r="K25" s="2" t="n"/>
      <c r="L25" s="2" t="inlineStr">
        <is>
          <t>E1</t>
        </is>
      </c>
    </row>
    <row r="26" ht="30" customHeight="1">
      <c r="A26" s="2" t="inlineStr">
        <is>
          <t>LI-08</t>
        </is>
      </c>
      <c r="B26" s="2" t="inlineStr">
        <is>
          <t>Log in / log out</t>
        </is>
      </c>
      <c r="C26" s="2" t="inlineStr">
        <is>
          <t>Back button after logout</t>
        </is>
      </c>
      <c r="D26" s="2" t="inlineStr">
        <is>
          <t>User is logged in</t>
        </is>
      </c>
      <c r="E26" s="2" t="inlineStr">
        <is>
          <t>1. Log out
2. Press browser Back button</t>
        </is>
      </c>
      <c r="F26" s="2" t="inlineStr">
        <is>
          <t>-</t>
        </is>
      </c>
      <c r="G26" s="2" t="inlineStr">
        <is>
          <t>Protected content is not shown or usable; any action redirects to login</t>
        </is>
      </c>
      <c r="H26" s="2" t="inlineStr">
        <is>
          <t>As expected. Back after logout lands on the login page.</t>
        </is>
      </c>
      <c r="I26" s="2" t="inlineStr">
        <is>
          <t>Pass</t>
        </is>
      </c>
      <c r="J26" s="2" t="inlineStr">
        <is>
          <t>Medium</t>
        </is>
      </c>
      <c r="K26" s="2" t="n"/>
      <c r="L26" s="2" t="inlineStr">
        <is>
          <t>E1</t>
        </is>
      </c>
    </row>
    <row r="27" ht="45" customHeight="1">
      <c r="A27" s="2" t="inlineStr">
        <is>
          <t>SR-01</t>
        </is>
      </c>
      <c r="B27" s="2" t="inlineStr">
        <is>
          <t>Submit recipe</t>
        </is>
      </c>
      <c r="C27" s="2" t="inlineStr">
        <is>
          <t>Submit a complete recipe</t>
        </is>
      </c>
      <c r="D27" s="2" t="inlineStr">
        <is>
          <t>User is logged in</t>
        </is>
      </c>
      <c r="E27" s="2" t="inlineStr">
        <is>
          <t>1. Fill all fields, choose photo under 2 MB, pick 2 categories and 2 tags
2. Click Submit</t>
        </is>
      </c>
      <c r="F27" s="2" t="inlineStr">
        <is>
          <t>Title: QA Test Pancakes
Time: 30
Photo: 500 KB JPG</t>
        </is>
      </c>
      <c r="G27" s="2" t="inlineStr">
        <is>
          <t>Recipe saved; visible in recipes list and on its details page with all entered data (SQL check Q3)</t>
        </is>
      </c>
      <c r="H27" s="2" t="inlineStr">
        <is>
          <t>As expected. 'Recipe submitted successfully!'; saved with correct author, 2 categories and 2 tags; shown in list and on details page.</t>
        </is>
      </c>
      <c r="I27" s="2" t="inlineStr">
        <is>
          <t>Pass</t>
        </is>
      </c>
      <c r="J27" s="2" t="inlineStr">
        <is>
          <t>High</t>
        </is>
      </c>
      <c r="K27" s="2" t="n"/>
      <c r="L27" s="2" t="inlineStr">
        <is>
          <t>E1</t>
        </is>
      </c>
    </row>
    <row r="28" ht="30" customHeight="1">
      <c r="A28" s="2" t="inlineStr">
        <is>
          <t>SR-02</t>
        </is>
      </c>
      <c r="B28" s="2" t="inlineStr">
        <is>
          <t>Submit recipe</t>
        </is>
      </c>
      <c r="C28" s="2" t="inlineStr">
        <is>
          <t>Required fields left empty</t>
        </is>
      </c>
      <c r="D28" s="2" t="inlineStr">
        <is>
          <t>User is logged in</t>
        </is>
      </c>
      <c r="E28" s="2" t="inlineStr">
        <is>
          <t>1. Leave Title, Time and Recipe empty
2. Click Submit</t>
        </is>
      </c>
      <c r="F28" s="2" t="inlineStr">
        <is>
          <t>-</t>
        </is>
      </c>
      <c r="G28" s="2" t="inlineStr">
        <is>
          <t>Form not submitted; required fields highlighted</t>
        </is>
      </c>
      <c r="H28" s="2" t="inlineStr">
        <is>
          <t>As expected. Browser blocks submit; Title, Time and Recipe marked invalid; nothing saved.</t>
        </is>
      </c>
      <c r="I28" s="2" t="inlineStr">
        <is>
          <t>Pass</t>
        </is>
      </c>
      <c r="J28" s="2" t="inlineStr">
        <is>
          <t>High</t>
        </is>
      </c>
      <c r="K28" s="2" t="n"/>
      <c r="L28" s="2" t="inlineStr">
        <is>
          <t>E1</t>
        </is>
      </c>
    </row>
    <row r="29" ht="30" customHeight="1">
      <c r="A29" s="2" t="inlineStr">
        <is>
          <t>SR-03</t>
        </is>
      </c>
      <c r="B29" s="2" t="inlineStr">
        <is>
          <t>Submit recipe</t>
        </is>
      </c>
      <c r="C29" s="2" t="inlineStr">
        <is>
          <t>Photo larger than 2 MB</t>
        </is>
      </c>
      <c r="D29" s="2" t="inlineStr">
        <is>
          <t>User is logged in</t>
        </is>
      </c>
      <c r="E29" s="2" t="inlineStr">
        <is>
          <t>1. Choose a JPG just over 2 MB</t>
        </is>
      </c>
      <c r="F29" s="2" t="inlineStr">
        <is>
          <t>Photo: 2.1 MB JPG</t>
        </is>
      </c>
      <c r="G29" s="2" t="inlineStr">
        <is>
          <t>Alert 'File too large (max 2MB)'; file cleared; no preview</t>
        </is>
      </c>
      <c r="H29" s="2" t="inlineStr">
        <is>
          <t>As expected.</t>
        </is>
      </c>
      <c r="I29" s="2" t="inlineStr">
        <is>
          <t>Pass</t>
        </is>
      </c>
      <c r="J29" s="2" t="inlineStr">
        <is>
          <t>High</t>
        </is>
      </c>
      <c r="K29" s="2" t="n"/>
      <c r="L29" s="2" t="inlineStr">
        <is>
          <t>E1</t>
        </is>
      </c>
    </row>
    <row r="30" ht="30" customHeight="1">
      <c r="A30" s="2" t="inlineStr">
        <is>
          <t>SR-04</t>
        </is>
      </c>
      <c r="B30" s="2" t="inlineStr">
        <is>
          <t>Submit recipe</t>
        </is>
      </c>
      <c r="C30" s="2" t="inlineStr">
        <is>
          <t>Photo just under 2 MB</t>
        </is>
      </c>
      <c r="D30" s="2" t="inlineStr">
        <is>
          <t>User is logged in</t>
        </is>
      </c>
      <c r="E30" s="2" t="inlineStr">
        <is>
          <t>1. Choose a JPG just under 2 MB
2. Submit the recipe</t>
        </is>
      </c>
      <c r="F30" s="2" t="inlineStr">
        <is>
          <t>Photo: 1.9 MB JPG</t>
        </is>
      </c>
      <c r="G30" s="2" t="inlineStr">
        <is>
          <t>Photo accepted, previewed and saved with the recipe</t>
        </is>
      </c>
      <c r="H30" s="2" t="inlineStr">
        <is>
          <t>As expected. Preview shown; saved file is 1,992,294 bytes.</t>
        </is>
      </c>
      <c r="I30" s="2" t="inlineStr">
        <is>
          <t>Pass</t>
        </is>
      </c>
      <c r="J30" s="2" t="inlineStr">
        <is>
          <t>Medium</t>
        </is>
      </c>
      <c r="K30" s="2" t="n"/>
      <c r="L30" s="2" t="inlineStr">
        <is>
          <t>E1</t>
        </is>
      </c>
    </row>
    <row r="31" ht="45" customHeight="1">
      <c r="A31" s="2" t="inlineStr">
        <is>
          <t>SR-05</t>
        </is>
      </c>
      <c r="B31" s="2" t="inlineStr">
        <is>
          <t>Submit recipe</t>
        </is>
      </c>
      <c r="C31" s="2" t="inlineStr">
        <is>
          <t>Unsupported file types</t>
        </is>
      </c>
      <c r="D31" s="2" t="inlineStr">
        <is>
          <t>User is logged in</t>
        </is>
      </c>
      <c r="E31" s="2" t="inlineStr">
        <is>
          <t>1. Try to choose a GIF
2. Try a .txt file renamed to .jpg
3. Submit</t>
        </is>
      </c>
      <c r="F31" s="2" t="inlineStr">
        <is>
          <t>test.gif
fake.jpg (text file)</t>
        </is>
      </c>
      <c r="G31" s="2" t="inlineStr">
        <is>
          <t>Non-image files rejected; no broken image saved</t>
        </is>
      </c>
      <c r="H31" s="2" t="inlineStr">
        <is>
          <t>All three files accepted and saved: GIF, text file renamed to .jpg (saved as a broken image), and a .php file, which the server then executes when its URL is opened.</t>
        </is>
      </c>
      <c r="I31" s="2" t="inlineStr">
        <is>
          <t>Fail</t>
        </is>
      </c>
      <c r="J31" s="2" t="inlineStr">
        <is>
          <t>Medium</t>
        </is>
      </c>
      <c r="K31" s="2" t="inlineStr">
        <is>
          <t>BUG-002</t>
        </is>
      </c>
      <c r="L31" s="2" t="inlineStr">
        <is>
          <t>E1</t>
        </is>
      </c>
    </row>
    <row r="32" ht="30" customHeight="1">
      <c r="A32" s="2" t="inlineStr">
        <is>
          <t>SR-06</t>
        </is>
      </c>
      <c r="B32" s="2" t="inlineStr">
        <is>
          <t>Submit recipe</t>
        </is>
      </c>
      <c r="C32" s="2" t="inlineStr">
        <is>
          <t>Submit without a photo</t>
        </is>
      </c>
      <c r="D32" s="2" t="inlineStr">
        <is>
          <t>User is logged in</t>
        </is>
      </c>
      <c r="E32" s="2" t="inlineStr">
        <is>
          <t>1. Fill required fields, no photo
2. Click Submit</t>
        </is>
      </c>
      <c r="F32" s="2" t="inlineStr">
        <is>
          <t>-</t>
        </is>
      </c>
      <c r="G32" s="2" t="inlineStr">
        <is>
          <t>Recipe saved; a placeholder image shown instead of a broken image</t>
        </is>
      </c>
      <c r="H32" s="2" t="inlineStr">
        <is>
          <t>Recipe saved with ImageURL 'default.png', but that file doesn't exist: broken image on the details page and in the list.</t>
        </is>
      </c>
      <c r="I32" s="2" t="inlineStr">
        <is>
          <t>Fail</t>
        </is>
      </c>
      <c r="J32" s="2" t="inlineStr">
        <is>
          <t>Medium</t>
        </is>
      </c>
      <c r="K32" s="2" t="inlineStr">
        <is>
          <t>BUG-008</t>
        </is>
      </c>
      <c r="L32" s="2" t="inlineStr">
        <is>
          <t>E1</t>
        </is>
      </c>
    </row>
    <row r="33" ht="45" customHeight="1">
      <c r="A33" s="2" t="inlineStr">
        <is>
          <t>SR-07</t>
        </is>
      </c>
      <c r="B33" s="2" t="inlineStr">
        <is>
          <t>Submit recipe</t>
        </is>
      </c>
      <c r="C33" s="2" t="inlineStr">
        <is>
          <t>Invalid preparation time</t>
        </is>
      </c>
      <c r="D33" s="2" t="inlineStr">
        <is>
          <t>User is logged in</t>
        </is>
      </c>
      <c r="E33" s="2" t="inlineStr">
        <is>
          <t>1. Enter each time value
2. Click Submit after each</t>
        </is>
      </c>
      <c r="F33" s="2" t="inlineStr">
        <is>
          <t>0
-5
99999</t>
        </is>
      </c>
      <c r="G33" s="2" t="inlineStr">
        <is>
          <t>0 and negative values rejected; unrealistic values rejected or warned</t>
        </is>
      </c>
      <c r="H33" s="2" t="inlineStr">
        <is>
          <t>0 and -5 rejected by the server, but with the misleading message 'Molimo popunite sva obavezna polja...'. 99999 accepted and saved with no warning.</t>
        </is>
      </c>
      <c r="I33" s="2" t="inlineStr">
        <is>
          <t>Fail</t>
        </is>
      </c>
      <c r="J33" s="2" t="inlineStr">
        <is>
          <t>Medium</t>
        </is>
      </c>
      <c r="K33" s="2" t="inlineStr">
        <is>
          <t>BUG-009</t>
        </is>
      </c>
      <c r="L33" s="2" t="inlineStr">
        <is>
          <t>E1</t>
        </is>
      </c>
    </row>
    <row r="34" ht="30" customHeight="1">
      <c r="A34" s="2" t="inlineStr">
        <is>
          <t>SR-08</t>
        </is>
      </c>
      <c r="B34" s="2" t="inlineStr">
        <is>
          <t>Submit recipe</t>
        </is>
      </c>
      <c r="C34" s="2" t="inlineStr">
        <is>
          <t>Servings slider range and display</t>
        </is>
      </c>
      <c r="D34" s="2" t="inlineStr">
        <is>
          <t>User is logged in</t>
        </is>
      </c>
      <c r="E34" s="2" t="inlineStr">
        <is>
          <t>1. Drag servings slider to both ends</t>
        </is>
      </c>
      <c r="F34" s="2" t="inlineStr">
        <is>
          <t>-</t>
        </is>
      </c>
      <c r="G34" s="2" t="inlineStr">
        <is>
          <t>Range is 1–15; displayed number matches slider position</t>
        </is>
      </c>
      <c r="H34" s="2" t="inlineStr">
        <is>
          <t>As expected. Range 1–15; display matches.</t>
        </is>
      </c>
      <c r="I34" s="2" t="inlineStr">
        <is>
          <t>Pass</t>
        </is>
      </c>
      <c r="J34" s="2" t="inlineStr">
        <is>
          <t>Low</t>
        </is>
      </c>
      <c r="K34" s="2" t="n"/>
      <c r="L34" s="2" t="inlineStr">
        <is>
          <t>E1</t>
        </is>
      </c>
    </row>
    <row r="35" ht="30" customHeight="1">
      <c r="A35" s="2" t="inlineStr">
        <is>
          <t>SR-09</t>
        </is>
      </c>
      <c r="B35" s="2" t="inlineStr">
        <is>
          <t>Submit recipe</t>
        </is>
      </c>
      <c r="C35" s="2" t="inlineStr">
        <is>
          <t>Difficulty slider range and display</t>
        </is>
      </c>
      <c r="D35" s="2" t="inlineStr">
        <is>
          <t>User is logged in</t>
        </is>
      </c>
      <c r="E35" s="2" t="inlineStr">
        <is>
          <t>1. Drag difficulty slider to both ends</t>
        </is>
      </c>
      <c r="F35" s="2" t="inlineStr">
        <is>
          <t>-</t>
        </is>
      </c>
      <c r="G35" s="2" t="inlineStr">
        <is>
          <t>Range is 1–5; displayed number matches slider position</t>
        </is>
      </c>
      <c r="H35" s="2" t="inlineStr">
        <is>
          <t>As expected. Range 1–5; display matches.</t>
        </is>
      </c>
      <c r="I35" s="2" t="inlineStr">
        <is>
          <t>Pass</t>
        </is>
      </c>
      <c r="J35" s="2" t="inlineStr">
        <is>
          <t>Low</t>
        </is>
      </c>
      <c r="K35" s="2" t="n"/>
      <c r="L35" s="2" t="inlineStr">
        <is>
          <t>E1</t>
        </is>
      </c>
    </row>
    <row r="36" ht="45" customHeight="1">
      <c r="A36" s="2" t="inlineStr">
        <is>
          <t>SR-10</t>
        </is>
      </c>
      <c r="B36" s="2" t="inlineStr">
        <is>
          <t>Submit recipe</t>
        </is>
      </c>
      <c r="C36" s="2" t="inlineStr">
        <is>
          <t>Title longer than 255 characters</t>
        </is>
      </c>
      <c r="D36" s="2" t="inlineStr">
        <is>
          <t>User is logged in</t>
        </is>
      </c>
      <c r="E36" s="2" t="inlineStr">
        <is>
          <t>1. Paste a 300-character title
2. Fill other required fields
3. Click Submit</t>
        </is>
      </c>
      <c r="F36" s="2" t="inlineStr">
        <is>
          <t>300 x 'a'</t>
        </is>
      </c>
      <c r="G36" s="2" t="inlineStr">
        <is>
          <t>Input limited or clear error shown; no database error shown to the user</t>
        </is>
      </c>
      <c r="H36" s="2" t="inlineStr">
        <is>
          <t>No input limit. Recipe not saved and raw database error shown: 'Greška pri upisu u bazu: SQLSTATE[22001]: String data, right truncated: 1406 Data too long for column 'Title' at row 1'.</t>
        </is>
      </c>
      <c r="I36" s="2" t="inlineStr">
        <is>
          <t>Fail</t>
        </is>
      </c>
      <c r="J36" s="2" t="inlineStr">
        <is>
          <t>Medium</t>
        </is>
      </c>
      <c r="K36" s="2" t="inlineStr">
        <is>
          <t>BUG-007</t>
        </is>
      </c>
      <c r="L36" s="2" t="inlineStr">
        <is>
          <t>E1</t>
        </is>
      </c>
    </row>
    <row r="37" ht="60" customHeight="1">
      <c r="A37" s="2" t="inlineStr">
        <is>
          <t>SR-11</t>
        </is>
      </c>
      <c r="B37" s="2" t="inlineStr">
        <is>
          <t>Submit recipe</t>
        </is>
      </c>
      <c r="C37" s="2" t="inlineStr">
        <is>
          <t>HTML in text fields is shown as plain text</t>
        </is>
      </c>
      <c r="D37" s="2" t="inlineStr">
        <is>
          <t>User is logged in</t>
        </is>
      </c>
      <c r="E37" s="2" t="inlineStr">
        <is>
          <t>1. Enter HTML in Title and Description
2. Submit
3. Open the recipe's details page and the list</t>
        </is>
      </c>
      <c r="F37" s="2" t="inlineStr">
        <is>
          <t>&lt;b&gt;Bold&lt;/b&gt; &lt;script&gt;alert(1)&lt;/script&gt;</t>
        </is>
      </c>
      <c r="G37" s="2" t="inlineStr">
        <is>
          <t>Text shown literally; no bold formatting, no alert popup</t>
        </is>
      </c>
      <c r="H37" s="2" t="inlineStr">
        <is>
          <t>As expected. HTML shown as plain text; no bold, no alert.</t>
        </is>
      </c>
      <c r="I37" s="2" t="inlineStr">
        <is>
          <t>Pass</t>
        </is>
      </c>
      <c r="J37" s="2" t="inlineStr">
        <is>
          <t>High</t>
        </is>
      </c>
      <c r="K37" s="2" t="n"/>
      <c r="L37" s="2" t="inlineStr">
        <is>
          <t>E1</t>
        </is>
      </c>
    </row>
    <row r="38" ht="30" customHeight="1">
      <c r="A38" s="2" t="inlineStr">
        <is>
          <t>ED-01</t>
        </is>
      </c>
      <c r="B38" s="2" t="inlineStr">
        <is>
          <t>Edit / delete recipe</t>
        </is>
      </c>
      <c r="C38" s="2" t="inlineStr">
        <is>
          <t>Owner sees Edit and Delete on own recipe</t>
        </is>
      </c>
      <c r="D38" s="2" t="inlineStr">
        <is>
          <t>Logged in as the recipe's author</t>
        </is>
      </c>
      <c r="E38" s="2" t="inlineStr">
        <is>
          <t>1. Open details page of own recipe</t>
        </is>
      </c>
      <c r="F38" s="2" t="inlineStr">
        <is>
          <t>-</t>
        </is>
      </c>
      <c r="G38" s="2" t="inlineStr">
        <is>
          <t>Edit and Delete buttons visible</t>
        </is>
      </c>
      <c r="H38" s="2" t="inlineStr">
        <is>
          <t>As expected.</t>
        </is>
      </c>
      <c r="I38" s="2" t="inlineStr">
        <is>
          <t>Pass</t>
        </is>
      </c>
      <c r="J38" s="2" t="inlineStr">
        <is>
          <t>High</t>
        </is>
      </c>
      <c r="K38" s="2" t="n"/>
      <c r="L38" s="2" t="inlineStr">
        <is>
          <t>E1</t>
        </is>
      </c>
    </row>
    <row r="39" ht="30" customHeight="1">
      <c r="A39" s="2" t="inlineStr">
        <is>
          <t>ED-02</t>
        </is>
      </c>
      <c r="B39" s="2" t="inlineStr">
        <is>
          <t>Edit / delete recipe</t>
        </is>
      </c>
      <c r="C39" s="2" t="inlineStr">
        <is>
          <t>Other users don't see Edit and Delete</t>
        </is>
      </c>
      <c r="D39" s="2" t="inlineStr">
        <is>
          <t>Logged in as a different user (or logged out)</t>
        </is>
      </c>
      <c r="E39" s="2" t="inlineStr">
        <is>
          <t>1. Open details page of someone else's recipe</t>
        </is>
      </c>
      <c r="F39" s="2" t="inlineStr">
        <is>
          <t>-</t>
        </is>
      </c>
      <c r="G39" s="2" t="inlineStr">
        <is>
          <t>Edit and Delete buttons not visible</t>
        </is>
      </c>
      <c r="H39" s="2" t="inlineStr">
        <is>
          <t>Logged in as another user: buttons hidden (correct). Logged out: Change and Delete visible on every recipe.</t>
        </is>
      </c>
      <c r="I39" s="2" t="inlineStr">
        <is>
          <t>Fail</t>
        </is>
      </c>
      <c r="J39" s="2" t="inlineStr">
        <is>
          <t>High</t>
        </is>
      </c>
      <c r="K39" s="2" t="inlineStr">
        <is>
          <t>BUG-001</t>
        </is>
      </c>
      <c r="L39" s="2" t="inlineStr">
        <is>
          <t>E1</t>
        </is>
      </c>
    </row>
    <row r="40" ht="30" customHeight="1">
      <c r="A40" s="2" t="inlineStr">
        <is>
          <t>ED-03</t>
        </is>
      </c>
      <c r="B40" s="2" t="inlineStr">
        <is>
          <t>Edit / delete recipe</t>
        </is>
      </c>
      <c r="C40" s="2" t="inlineStr">
        <is>
          <t>Edit another user's recipe via URL</t>
        </is>
      </c>
      <c r="D40" s="2" t="inlineStr">
        <is>
          <t>Logged in as a user who is NOT the author</t>
        </is>
      </c>
      <c r="E40" s="2" t="inlineStr">
        <is>
          <t>1. Open php/edit_recipe.php?id=&lt;other user's recipe id&gt;</t>
        </is>
      </c>
      <c r="F40" s="2" t="inlineStr">
        <is>
          <t>id of a seed recipe</t>
        </is>
      </c>
      <c r="G40" s="2" t="inlineStr">
        <is>
          <t>Access denied / redirected; edit form not shown</t>
        </is>
      </c>
      <c r="H40" s="2" t="inlineStr">
        <is>
          <t>Logged in as another user: 'You do not have permission to edit this recipe!' (correct). Logged out: edit form opens and saving changes another user's recipe.</t>
        </is>
      </c>
      <c r="I40" s="2" t="inlineStr">
        <is>
          <t>Fail</t>
        </is>
      </c>
      <c r="J40" s="2" t="inlineStr">
        <is>
          <t>High</t>
        </is>
      </c>
      <c r="K40" s="2" t="inlineStr">
        <is>
          <t>BUG-001</t>
        </is>
      </c>
      <c r="L40" s="2" t="inlineStr">
        <is>
          <t>E1</t>
        </is>
      </c>
    </row>
    <row r="41" ht="45" customHeight="1">
      <c r="A41" s="2" t="inlineStr">
        <is>
          <t>ED-04</t>
        </is>
      </c>
      <c r="B41" s="2" t="inlineStr">
        <is>
          <t>Edit / delete recipe</t>
        </is>
      </c>
      <c r="C41" s="2" t="inlineStr">
        <is>
          <t>Edit own recipe</t>
        </is>
      </c>
      <c r="D41" s="2" t="inlineStr">
        <is>
          <t>Logged in as author</t>
        </is>
      </c>
      <c r="E41" s="2" t="inlineStr">
        <is>
          <t>1. Click Edit
2. Change title, time and one category
3. Save</t>
        </is>
      </c>
      <c r="F41" s="2" t="inlineStr">
        <is>
          <t>Title: QA Test Pancakes v2</t>
        </is>
      </c>
      <c r="G41" s="2" t="inlineStr">
        <is>
          <t>Redirected to details page showing the new values; old category removed (SQL check Q4)</t>
        </is>
      </c>
      <c r="H41" s="2" t="inlineStr">
        <is>
          <t>As expected. Redirected to details page; title and time updated; removed category gone.</t>
        </is>
      </c>
      <c r="I41" s="2" t="inlineStr">
        <is>
          <t>Pass</t>
        </is>
      </c>
      <c r="J41" s="2" t="inlineStr">
        <is>
          <t>High</t>
        </is>
      </c>
      <c r="K41" s="2" t="n"/>
      <c r="L41" s="2" t="inlineStr">
        <is>
          <t>E1</t>
        </is>
      </c>
    </row>
    <row r="42" ht="30" customHeight="1">
      <c r="A42" s="2" t="inlineStr">
        <is>
          <t>ED-05</t>
        </is>
      </c>
      <c r="B42" s="2" t="inlineStr">
        <is>
          <t>Edit / delete recipe</t>
        </is>
      </c>
      <c r="C42" s="2" t="inlineStr">
        <is>
          <t>Delete asks for confirmation (Cancel)</t>
        </is>
      </c>
      <c r="D42" s="2" t="inlineStr">
        <is>
          <t>Logged in as author</t>
        </is>
      </c>
      <c r="E42" s="2" t="inlineStr">
        <is>
          <t>1. Click Delete
2. Click Cancel in the dialog</t>
        </is>
      </c>
      <c r="F42" s="2" t="inlineStr">
        <is>
          <t>-</t>
        </is>
      </c>
      <c r="G42" s="2" t="inlineStr">
        <is>
          <t>Confirmation dialog appears; recipe is NOT deleted after Cancel</t>
        </is>
      </c>
      <c r="H42" s="2" t="inlineStr">
        <is>
          <t>As expected.</t>
        </is>
      </c>
      <c r="I42" s="2" t="inlineStr">
        <is>
          <t>Pass</t>
        </is>
      </c>
      <c r="J42" s="2" t="inlineStr">
        <is>
          <t>Medium</t>
        </is>
      </c>
      <c r="K42" s="2" t="n"/>
      <c r="L42" s="2" t="inlineStr">
        <is>
          <t>E1</t>
        </is>
      </c>
    </row>
    <row r="43" ht="45" customHeight="1">
      <c r="A43" s="2" t="inlineStr">
        <is>
          <t>ED-06</t>
        </is>
      </c>
      <c r="B43" s="2" t="inlineStr">
        <is>
          <t>Edit / delete recipe</t>
        </is>
      </c>
      <c r="C43" s="2" t="inlineStr">
        <is>
          <t>Delete own recipe</t>
        </is>
      </c>
      <c r="D43" s="2" t="inlineStr">
        <is>
          <t>Logged in as author</t>
        </is>
      </c>
      <c r="E43" s="2" t="inlineStr">
        <is>
          <t>1. Click Delete
2. Confirm</t>
        </is>
      </c>
      <c r="F43" s="2" t="inlineStr">
        <is>
          <t>-</t>
        </is>
      </c>
      <c r="G43" s="2" t="inlineStr">
        <is>
          <t>Recipe gone from list; details URL no longer shows it; no orphan category/tag rows (SQL check Q5)</t>
        </is>
      </c>
      <c r="H43" s="2" t="inlineStr">
        <is>
          <t>As expected. No orphan category or tag rows.</t>
        </is>
      </c>
      <c r="I43" s="2" t="inlineStr">
        <is>
          <t>Pass</t>
        </is>
      </c>
      <c r="J43" s="2" t="inlineStr">
        <is>
          <t>High</t>
        </is>
      </c>
      <c r="K43" s="2" t="n"/>
      <c r="L43" s="2" t="inlineStr">
        <is>
          <t>E1</t>
        </is>
      </c>
    </row>
    <row r="44" ht="45" customHeight="1">
      <c r="A44" s="2" t="inlineStr">
        <is>
          <t>RB-01</t>
        </is>
      </c>
      <c r="B44" s="2" t="inlineStr">
        <is>
          <t>Browse and search</t>
        </is>
      </c>
      <c r="C44" s="2" t="inlineStr">
        <is>
          <t>Search by existing keyword</t>
        </is>
      </c>
      <c r="D44" s="2" t="inlineStr">
        <is>
          <t>Seed recipes exist</t>
        </is>
      </c>
      <c r="E44" s="2" t="inlineStr">
        <is>
          <t>1. Type a word from a recipe title into search
2. Press Enter</t>
        </is>
      </c>
      <c r="F44" s="2" t="inlineStr">
        <is>
          <t>pasta</t>
        </is>
      </c>
      <c r="G44" s="2" t="inlineStr">
        <is>
          <t>Only matching recipes shown</t>
        </is>
      </c>
      <c r="H44" s="2" t="inlineStr">
        <is>
          <t>As expected. 'pasta' returns only Vodka Pasta.</t>
        </is>
      </c>
      <c r="I44" s="2" t="inlineStr">
        <is>
          <t>Pass</t>
        </is>
      </c>
      <c r="J44" s="2" t="inlineStr">
        <is>
          <t>High</t>
        </is>
      </c>
      <c r="K44" s="2" t="n"/>
      <c r="L44" s="2" t="inlineStr">
        <is>
          <t>E1</t>
        </is>
      </c>
    </row>
    <row r="45" ht="30" customHeight="1">
      <c r="A45" s="2" t="inlineStr">
        <is>
          <t>RB-02</t>
        </is>
      </c>
      <c r="B45" s="2" t="inlineStr">
        <is>
          <t>Browse and search</t>
        </is>
      </c>
      <c r="C45" s="2" t="inlineStr">
        <is>
          <t>Search with no matches</t>
        </is>
      </c>
      <c r="D45" s="2" t="inlineStr">
        <is>
          <t>-</t>
        </is>
      </c>
      <c r="E45" s="2" t="inlineStr">
        <is>
          <t>1. Search a nonsense word</t>
        </is>
      </c>
      <c r="F45" s="2" t="inlineStr">
        <is>
          <t>zzqxw</t>
        </is>
      </c>
      <c r="G45" s="2" t="inlineStr">
        <is>
          <t>'No recipes found' message; no errors</t>
        </is>
      </c>
      <c r="H45" s="2" t="inlineStr">
        <is>
          <t>As expected. 'No recipes found matching your filters.'</t>
        </is>
      </c>
      <c r="I45" s="2" t="inlineStr">
        <is>
          <t>Pass</t>
        </is>
      </c>
      <c r="J45" s="2" t="inlineStr">
        <is>
          <t>Medium</t>
        </is>
      </c>
      <c r="K45" s="2" t="n"/>
      <c r="L45" s="2" t="inlineStr">
        <is>
          <t>E1</t>
        </is>
      </c>
    </row>
    <row r="46" ht="30" customHeight="1">
      <c r="A46" s="2" t="inlineStr">
        <is>
          <t>RB-03</t>
        </is>
      </c>
      <c r="B46" s="2" t="inlineStr">
        <is>
          <t>Browse and search</t>
        </is>
      </c>
      <c r="C46" s="2" t="inlineStr">
        <is>
          <t>Search is case-insensitive</t>
        </is>
      </c>
      <c r="D46" s="2" t="inlineStr">
        <is>
          <t>Seed recipes exist</t>
        </is>
      </c>
      <c r="E46" s="2" t="inlineStr">
        <is>
          <t>1. Search the same word in lower and upper case</t>
        </is>
      </c>
      <c r="F46" s="2" t="inlineStr">
        <is>
          <t>pasta / PASTA</t>
        </is>
      </c>
      <c r="G46" s="2" t="inlineStr">
        <is>
          <t>Same results for both</t>
        </is>
      </c>
      <c r="H46" s="2" t="inlineStr">
        <is>
          <t>As expected.</t>
        </is>
      </c>
      <c r="I46" s="2" t="inlineStr">
        <is>
          <t>Pass</t>
        </is>
      </c>
      <c r="J46" s="2" t="inlineStr">
        <is>
          <t>Low</t>
        </is>
      </c>
      <c r="K46" s="2" t="n"/>
      <c r="L46" s="2" t="inlineStr">
        <is>
          <t>E1</t>
        </is>
      </c>
    </row>
    <row r="47" ht="45" customHeight="1">
      <c r="A47" s="2" t="inlineStr">
        <is>
          <t>RB-04</t>
        </is>
      </c>
      <c r="B47" s="2" t="inlineStr">
        <is>
          <t>Browse and search</t>
        </is>
      </c>
      <c r="C47" s="2" t="inlineStr">
        <is>
          <t>Filter by time and difficulty</t>
        </is>
      </c>
      <c r="D47" s="2" t="inlineStr">
        <is>
          <t>-</t>
        </is>
      </c>
      <c r="E47" s="2" t="inlineStr">
        <is>
          <t>1. On recipes page tick a time range
2. Select a difficulty
3. Apply</t>
        </is>
      </c>
      <c r="F47" s="2" t="inlineStr">
        <is>
          <t>10–30 min, difficulty 2</t>
        </is>
      </c>
      <c r="G47" s="2" t="inlineStr">
        <is>
          <t>Every shown recipe matches both filters</t>
        </is>
      </c>
      <c r="H47" s="2" t="inlineStr">
        <is>
          <t>As expected. 4 recipes shown, all 10–30 min and difficulty 2; matches the database.</t>
        </is>
      </c>
      <c r="I47" s="2" t="inlineStr">
        <is>
          <t>Pass</t>
        </is>
      </c>
      <c r="J47" s="2" t="inlineStr">
        <is>
          <t>High</t>
        </is>
      </c>
      <c r="K47" s="2" t="n"/>
      <c r="L47" s="2" t="inlineStr">
        <is>
          <t>E1</t>
        </is>
      </c>
    </row>
    <row r="48" ht="30" customHeight="1">
      <c r="A48" s="2" t="inlineStr">
        <is>
          <t>RB-05</t>
        </is>
      </c>
      <c r="B48" s="2" t="inlineStr">
        <is>
          <t>Browse and search</t>
        </is>
      </c>
      <c r="C48" s="2" t="inlineStr">
        <is>
          <t>Search term kept when filtering</t>
        </is>
      </c>
      <c r="D48" s="2" t="inlineStr">
        <is>
          <t>-</t>
        </is>
      </c>
      <c r="E48" s="2" t="inlineStr">
        <is>
          <t>1. Search a keyword
2. Then apply a filter</t>
        </is>
      </c>
      <c r="F48" s="2" t="inlineStr">
        <is>
          <t>pasta + 30–60 min</t>
        </is>
      </c>
      <c r="G48" s="2" t="inlineStr">
        <is>
          <t>Results match both the keyword and the filter; keyword still visible in search box</t>
        </is>
      </c>
      <c r="H48" s="2" t="inlineStr">
        <is>
          <t>Results are correct (keyword and filter both applied), but the search box is empty after filtering.</t>
        </is>
      </c>
      <c r="I48" s="2" t="inlineStr">
        <is>
          <t>Fail</t>
        </is>
      </c>
      <c r="J48" s="2" t="inlineStr">
        <is>
          <t>Medium</t>
        </is>
      </c>
      <c r="K48" s="2" t="inlineStr">
        <is>
          <t>BUG-013</t>
        </is>
      </c>
      <c r="L48" s="2" t="inlineStr">
        <is>
          <t>E1</t>
        </is>
      </c>
    </row>
    <row r="49" ht="30" customHeight="1">
      <c r="A49" s="2" t="inlineStr">
        <is>
          <t>RB-06</t>
        </is>
      </c>
      <c r="B49" s="2" t="inlineStr">
        <is>
          <t>Browse and search</t>
        </is>
      </c>
      <c r="C49" s="2" t="inlineStr">
        <is>
          <t>Sorting options</t>
        </is>
      </c>
      <c r="D49" s="2" t="inlineStr">
        <is>
          <t>-</t>
        </is>
      </c>
      <c r="E49" s="2" t="inlineStr">
        <is>
          <t>1. Try each option in the Sort dropdown</t>
        </is>
      </c>
      <c r="F49" s="2" t="inlineStr">
        <is>
          <t>-</t>
        </is>
      </c>
      <c r="G49" s="2" t="inlineStr">
        <is>
          <t>List reorders correctly for each option</t>
        </is>
      </c>
      <c r="H49" s="2" t="inlineStr">
        <is>
          <t>As expected. Time ascending, time descending and highest rated all ordered correctly.</t>
        </is>
      </c>
      <c r="I49" s="2" t="inlineStr">
        <is>
          <t>Pass</t>
        </is>
      </c>
      <c r="J49" s="2" t="inlineStr">
        <is>
          <t>Medium</t>
        </is>
      </c>
      <c r="K49" s="2" t="n"/>
      <c r="L49" s="2" t="inlineStr">
        <is>
          <t>E1</t>
        </is>
      </c>
    </row>
    <row r="50" ht="30" customHeight="1">
      <c r="A50" s="2" t="inlineStr">
        <is>
          <t>RB-07</t>
        </is>
      </c>
      <c r="B50" s="2" t="inlineStr">
        <is>
          <t>Browse and search</t>
        </is>
      </c>
      <c r="C50" s="2" t="inlineStr">
        <is>
          <t>Details page without id</t>
        </is>
      </c>
      <c r="D50" s="2" t="inlineStr">
        <is>
          <t>-</t>
        </is>
      </c>
      <c r="E50" s="2" t="inlineStr">
        <is>
          <t>1. Open php/details.php with no ?id</t>
        </is>
      </c>
      <c r="F50" s="2" t="inlineStr">
        <is>
          <t>-</t>
        </is>
      </c>
      <c r="G50" s="2" t="inlineStr">
        <is>
          <t>Redirected to recipes list</t>
        </is>
      </c>
      <c r="H50" s="2" t="inlineStr">
        <is>
          <t>As expected.</t>
        </is>
      </c>
      <c r="I50" s="2" t="inlineStr">
        <is>
          <t>Pass</t>
        </is>
      </c>
      <c r="J50" s="2" t="inlineStr">
        <is>
          <t>Low</t>
        </is>
      </c>
      <c r="K50" s="2" t="n"/>
      <c r="L50" s="2" t="inlineStr">
        <is>
          <t>E1</t>
        </is>
      </c>
    </row>
    <row r="51" ht="30" customHeight="1">
      <c r="A51" s="2" t="inlineStr">
        <is>
          <t>RB-08</t>
        </is>
      </c>
      <c r="B51" s="2" t="inlineStr">
        <is>
          <t>Browse and search</t>
        </is>
      </c>
      <c r="C51" s="2" t="inlineStr">
        <is>
          <t>Details page with non-existent or invalid id</t>
        </is>
      </c>
      <c r="D51" s="2" t="inlineStr">
        <is>
          <t>-</t>
        </is>
      </c>
      <c r="E51" s="2" t="inlineStr">
        <is>
          <t>1. Open details.php?id=99999
2. Open details.php?id=abc</t>
        </is>
      </c>
      <c r="F51" s="2" t="inlineStr">
        <is>
          <t>-</t>
        </is>
      </c>
      <c r="G51" s="2" t="inlineStr">
        <is>
          <t>User-friendly 'not found' page within the normal site layout; no raw errors</t>
        </is>
      </c>
      <c r="H51" s="2" t="inlineStr">
        <is>
          <t>Both show only the plain text 'Recipe not found.' on a blank, unstyled page with no header, footer or navigation.</t>
        </is>
      </c>
      <c r="I51" s="2" t="inlineStr">
        <is>
          <t>Fail</t>
        </is>
      </c>
      <c r="J51" s="2" t="inlineStr">
        <is>
          <t>Medium</t>
        </is>
      </c>
      <c r="K51" s="2" t="inlineStr">
        <is>
          <t>BUG-012</t>
        </is>
      </c>
      <c r="L51" s="2" t="inlineStr">
        <is>
          <t>E1</t>
        </is>
      </c>
    </row>
    <row r="52" ht="30" customHeight="1">
      <c r="A52" s="2" t="inlineStr">
        <is>
          <t>SP-01</t>
        </is>
      </c>
      <c r="B52" s="2" t="inlineStr">
        <is>
          <t>Support and newsletter</t>
        </is>
      </c>
      <c r="C52" s="2" t="inlineStr">
        <is>
          <t>Submit support form with valid data</t>
        </is>
      </c>
      <c r="D52" s="2" t="inlineStr">
        <is>
          <t>On support page</t>
        </is>
      </c>
      <c r="E52" s="2" t="inlineStr">
        <is>
          <t>1. Fill all support fields
2. Submit</t>
        </is>
      </c>
      <c r="F52" s="2" t="inlineStr">
        <is>
          <t>Valid name, email, subject, message</t>
        </is>
      </c>
      <c r="G52" s="2" t="inlineStr">
        <is>
          <t>Confirmation shown; request saved in support table (SQL check Q6)</t>
        </is>
      </c>
      <c r="H52" s="2" t="inlineStr">
        <is>
          <t>Form has no backend: page just reloads with the data in the URL (?type=1&amp;email=...); nothing saved in support table; no confirmation.</t>
        </is>
      </c>
      <c r="I52" s="2" t="inlineStr">
        <is>
          <t>Fail</t>
        </is>
      </c>
      <c r="J52" s="2" t="inlineStr">
        <is>
          <t>High</t>
        </is>
      </c>
      <c r="K52" s="2" t="inlineStr">
        <is>
          <t>BUG-005</t>
        </is>
      </c>
      <c r="L52" s="2" t="inlineStr">
        <is>
          <t>E1</t>
        </is>
      </c>
    </row>
    <row r="53" ht="30" customHeight="1">
      <c r="A53" s="2" t="inlineStr">
        <is>
          <t>SP-02</t>
        </is>
      </c>
      <c r="B53" s="2" t="inlineStr">
        <is>
          <t>Support and newsletter</t>
        </is>
      </c>
      <c r="C53" s="2" t="inlineStr">
        <is>
          <t>Submit support form empty / invalid email</t>
        </is>
      </c>
      <c r="D53" s="2" t="inlineStr">
        <is>
          <t>On support page</t>
        </is>
      </c>
      <c r="E53" s="2" t="inlineStr">
        <is>
          <t>1. Submit with empty fields
2. Submit with invalid email</t>
        </is>
      </c>
      <c r="F53" s="2" t="inlineStr">
        <is>
          <t>email: test@</t>
        </is>
      </c>
      <c r="G53" s="2" t="inlineStr">
        <is>
          <t>Form not submitted; errors shown</t>
        </is>
      </c>
      <c r="H53" s="2" t="inlineStr">
        <is>
          <t>No validation: empty form and invalid email 'test@' both submit (email field is type='text').</t>
        </is>
      </c>
      <c r="I53" s="2" t="inlineStr">
        <is>
          <t>Fail</t>
        </is>
      </c>
      <c r="J53" s="2" t="inlineStr">
        <is>
          <t>Medium</t>
        </is>
      </c>
      <c r="K53" s="2" t="inlineStr">
        <is>
          <t>BUG-011</t>
        </is>
      </c>
      <c r="L53" s="2" t="inlineStr">
        <is>
          <t>E1</t>
        </is>
      </c>
    </row>
    <row r="54" ht="30" customHeight="1">
      <c r="A54" s="2" t="inlineStr">
        <is>
          <t>SP-03</t>
        </is>
      </c>
      <c r="B54" s="2" t="inlineStr">
        <is>
          <t>Support and newsletter</t>
        </is>
      </c>
      <c r="C54" s="2" t="inlineStr">
        <is>
          <t>Newsletter signup with invalid email</t>
        </is>
      </c>
      <c r="D54" s="2" t="inlineStr">
        <is>
          <t>Any page with newsletter field</t>
        </is>
      </c>
      <c r="E54" s="2" t="inlineStr">
        <is>
          <t>1. Enter invalid email in newsletter field
2. Submit</t>
        </is>
      </c>
      <c r="F54" s="2" t="inlineStr">
        <is>
          <t>abc</t>
        </is>
      </c>
      <c r="G54" s="2" t="inlineStr">
        <is>
          <t>Rejected with validation message</t>
        </is>
      </c>
      <c r="H54" s="2" t="inlineStr">
        <is>
          <t>As expected. Browser rejects 'abc'. (A valid email also does nothing, see BUG-005.)</t>
        </is>
      </c>
      <c r="I54" s="2" t="inlineStr">
        <is>
          <t>Pass</t>
        </is>
      </c>
      <c r="J54" s="2" t="inlineStr">
        <is>
          <t>Low</t>
        </is>
      </c>
      <c r="K54" s="2" t="n"/>
      <c r="L54" s="2" t="inlineStr">
        <is>
          <t>E1</t>
        </is>
      </c>
    </row>
    <row r="55" ht="30" customHeight="1">
      <c r="A55" s="2" t="inlineStr">
        <is>
          <t>UI-01</t>
        </is>
      </c>
      <c r="B55" s="2" t="inlineStr">
        <is>
          <t>UI and responsiveness</t>
        </is>
      </c>
      <c r="C55" s="2" t="inlineStr">
        <is>
          <t>All navigation and footer links work</t>
        </is>
      </c>
      <c r="D55" s="2" t="inlineStr">
        <is>
          <t>-</t>
        </is>
      </c>
      <c r="E55" s="2" t="inlineStr">
        <is>
          <t>1. Click every header and footer link on each page</t>
        </is>
      </c>
      <c r="F55" s="2" t="inlineStr">
        <is>
          <t>-</t>
        </is>
      </c>
      <c r="G55" s="2" t="inlineStr">
        <is>
          <t>Every link opens the correct page; no 404s or dead '#' links</t>
        </is>
      </c>
      <c r="H55" s="2" t="inlineStr">
        <is>
          <t>No 404s. Footer links Terms of service, Privacy policy and Trademarks point to '#' and go nowhere.</t>
        </is>
      </c>
      <c r="I55" s="2" t="inlineStr">
        <is>
          <t>Fail</t>
        </is>
      </c>
      <c r="J55" s="2" t="inlineStr">
        <is>
          <t>Medium</t>
        </is>
      </c>
      <c r="K55" s="2" t="inlineStr">
        <is>
          <t>BUG-014</t>
        </is>
      </c>
      <c r="L55" s="2" t="inlineStr">
        <is>
          <t>E1</t>
        </is>
      </c>
    </row>
    <row r="56" ht="30" customHeight="1">
      <c r="A56" s="2" t="inlineStr">
        <is>
          <t>UI-02</t>
        </is>
      </c>
      <c r="B56" s="2" t="inlineStr">
        <is>
          <t>UI and responsiveness</t>
        </is>
      </c>
      <c r="C56" s="2" t="inlineStr">
        <is>
          <t>Home page carousel</t>
        </is>
      </c>
      <c r="D56" s="2" t="inlineStr">
        <is>
          <t>-</t>
        </is>
      </c>
      <c r="E56" s="2" t="inlineStr">
        <is>
          <t>1. Watch carousel
2. Use its controls</t>
        </is>
      </c>
      <c r="F56" s="2" t="inlineStr">
        <is>
          <t>-</t>
        </is>
      </c>
      <c r="G56" s="2" t="inlineStr">
        <is>
          <t>Slides change correctly; controls work; images not distorted</t>
        </is>
      </c>
      <c r="H56" s="2" t="inlineStr">
        <is>
          <t>As expected. Auto-advances every ~3.5 s; Previous and Next work; images not distorted (object-fit: cover).</t>
        </is>
      </c>
      <c r="I56" s="2" t="inlineStr">
        <is>
          <t>Pass</t>
        </is>
      </c>
      <c r="J56" s="2" t="inlineStr">
        <is>
          <t>Low</t>
        </is>
      </c>
      <c r="K56" s="2" t="n"/>
      <c r="L56" s="2" t="inlineStr">
        <is>
          <t>E1</t>
        </is>
      </c>
    </row>
    <row r="57" ht="45" customHeight="1">
      <c r="A57" s="2" t="inlineStr">
        <is>
          <t>UI-03</t>
        </is>
      </c>
      <c r="B57" s="2" t="inlineStr">
        <is>
          <t>UI and responsiveness</t>
        </is>
      </c>
      <c r="C57" s="2" t="inlineStr">
        <is>
          <t>Mobile layout (phone width)</t>
        </is>
      </c>
      <c r="D57" s="2" t="inlineStr">
        <is>
          <t>Browser mobile device view (phone width)</t>
        </is>
      </c>
      <c r="E57" s="2" t="inlineStr">
        <is>
          <t>1. Visit home, recipes, details, submit, login
2. Scroll each page</t>
        </is>
      </c>
      <c r="F57" s="2" t="inlineStr">
        <is>
          <t>-</t>
        </is>
      </c>
      <c r="G57" s="2" t="inlineStr">
        <is>
          <t>No horizontal scrolling; text readable; buttons usable by touch</t>
        </is>
      </c>
      <c r="H57" s="2" t="inlineStr">
        <is>
          <t>As expected. No horizontal scrolling on home, recipes, details, submit and login (phone-width device view).</t>
        </is>
      </c>
      <c r="I57" s="2" t="inlineStr">
        <is>
          <t>Pass</t>
        </is>
      </c>
      <c r="J57" s="2" t="inlineStr">
        <is>
          <t>High</t>
        </is>
      </c>
      <c r="K57" s="2" t="n"/>
      <c r="L57" s="2" t="inlineStr">
        <is>
          <t>E1</t>
        </is>
      </c>
    </row>
    <row r="58" ht="45" customHeight="1">
      <c r="A58" s="2" t="inlineStr">
        <is>
          <t>UI-04</t>
        </is>
      </c>
      <c r="B58" s="2" t="inlineStr">
        <is>
          <t>UI and responsiveness</t>
        </is>
      </c>
      <c r="C58" s="2" t="inlineStr">
        <is>
          <t>Filter panel on mobile</t>
        </is>
      </c>
      <c r="D58" s="2" t="inlineStr">
        <is>
          <t>Browser mobile device view (phone width)</t>
        </is>
      </c>
      <c r="E58" s="2" t="inlineStr">
        <is>
          <t>1. Open recipes page
2. Open filter panel
3. Close it</t>
        </is>
      </c>
      <c r="F58" s="2" t="inlineStr">
        <is>
          <t>-</t>
        </is>
      </c>
      <c r="G58" s="2" t="inlineStr">
        <is>
          <t>Panel opens and closes; page scrolls normally after closing</t>
        </is>
      </c>
      <c r="H58" s="2" t="inlineStr">
        <is>
          <t>Panel opens, but has no close button on mobile (hidden by CSS). Only way out is Apply Filters.</t>
        </is>
      </c>
      <c r="I58" s="2" t="inlineStr">
        <is>
          <t>Fail</t>
        </is>
      </c>
      <c r="J58" s="2" t="inlineStr">
        <is>
          <t>Medium</t>
        </is>
      </c>
      <c r="K58" s="2" t="inlineStr">
        <is>
          <t>BUG-006</t>
        </is>
      </c>
      <c r="L58" s="2" t="inlineStr">
        <is>
          <t>E1</t>
        </is>
      </c>
    </row>
    <row r="59" ht="30" customHeight="1">
      <c r="A59" s="2" t="inlineStr">
        <is>
          <t>UI-05</t>
        </is>
      </c>
      <c r="B59" s="2" t="inlineStr">
        <is>
          <t>UI and responsiveness</t>
        </is>
      </c>
      <c r="C59" s="2" t="inlineStr">
        <is>
          <t>Cross-browser check</t>
        </is>
      </c>
      <c r="D59" s="2" t="inlineStr">
        <is>
          <t>Two different browsers on Windows</t>
        </is>
      </c>
      <c r="E59" s="2" t="inlineStr">
        <is>
          <t>1. Repeat SU-01, LI-01, SR-01 and RB-01 in a second browser</t>
        </is>
      </c>
      <c r="F59" s="2" t="inlineStr">
        <is>
          <t>-</t>
        </is>
      </c>
      <c r="G59" s="2" t="inlineStr">
        <is>
          <t>Same behavior and layout in both browsers</t>
        </is>
      </c>
      <c r="H59" s="2" t="inlineStr">
        <is>
          <t>As expected.</t>
        </is>
      </c>
      <c r="I59" s="2" t="inlineStr">
        <is>
          <t>Pass</t>
        </is>
      </c>
      <c r="J59" s="2" t="inlineStr">
        <is>
          <t>Medium</t>
        </is>
      </c>
      <c r="K59" s="2" t="n"/>
      <c r="L59" s="2" t="inlineStr">
        <is>
          <t>E1</t>
        </is>
      </c>
    </row>
  </sheetData>
  <autoFilter ref="A1:L59"/>
  <conditionalFormatting sqref="I2:I59">
    <cfRule type="cellIs" priority="1" operator="equal" dxfId="2">
      <formula>"Pass"</formula>
    </cfRule>
    <cfRule type="cellIs" priority="2" operator="equal" dxfId="1">
      <formula>"Fail"</formula>
    </cfRule>
    <cfRule type="cellIs" priority="3" operator="equal" dxfId="0">
      <formula>"Blocked"</formula>
    </cfRule>
  </conditionalFormatting>
  <dataValidations count="3">
    <dataValidation sqref="I2:I59" showDropDown="0" showInputMessage="0" showErrorMessage="0" allowBlank="1" type="list">
      <formula1>"Pass,Fail,Blocked,Not run"</formula1>
    </dataValidation>
    <dataValidation sqref="J2:J59" showDropDown="0" showInputMessage="0" showErrorMessage="0" allowBlank="1" type="list">
      <formula1>"High,Medium,Low"</formula1>
    </dataValidation>
    <dataValidation sqref="L2:L59" showDropDown="0" showInputMessage="0" showErrorMessage="0" allowBlank="1" type="list">
      <formula1>"E1"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t="inlineStr">
        <is>
          <t>Total test cases</t>
        </is>
      </c>
      <c r="B2">
        <f>COUNTA('Test cases'!A2:A59)</f>
        <v/>
      </c>
    </row>
    <row r="3">
      <c r="A3" t="inlineStr">
        <is>
          <t>Pass</t>
        </is>
      </c>
      <c r="B3">
        <f>COUNTIF('Test cases'!I2:I59,"Pass")</f>
        <v/>
      </c>
    </row>
    <row r="4">
      <c r="A4" t="inlineStr">
        <is>
          <t>Fail</t>
        </is>
      </c>
      <c r="B4">
        <f>COUNTIF('Test cases'!I2:I59,"Fail")</f>
        <v/>
      </c>
    </row>
    <row r="5">
      <c r="A5" t="inlineStr">
        <is>
          <t>Blocked</t>
        </is>
      </c>
      <c r="B5">
        <f>COUNTIF('Test cases'!I2:I59,"Blocked")</f>
        <v/>
      </c>
    </row>
    <row r="6">
      <c r="A6" t="inlineStr">
        <is>
          <t>Not run</t>
        </is>
      </c>
      <c r="B6">
        <f>COUNTIF('Test cases'!I2:I59,"Not run")</f>
        <v/>
      </c>
    </row>
    <row r="7">
      <c r="A7" t="inlineStr">
        <is>
          <t>Not filled in yet</t>
        </is>
      </c>
      <c r="B7">
        <f>COUNTBLANK('Test cases'!I2:I59)</f>
        <v/>
      </c>
    </row>
    <row r="8">
      <c r="A8" t="inlineStr">
        <is>
          <t>Pass rate (of executed)</t>
        </is>
      </c>
      <c r="B8" s="4">
        <f>IFERROR(B3/(B3+B4),"-")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2026-10-24T12:20:46Z</dcterms:created>
  <dcterms:modified xmlns:dcterms="http://purl.org/dc/terms/" xmlns:xsi="http://www.w3.org/2001/XMLSchema-instance" xsi:type="dcterms:W3CDTF">2026-10-28T12:41:23Z</dcterms:modified>
  <cp:lastModifiedBy>Kristijan Sarcevic</cp:lastModifiedBy>
</cp:coreProperties>
</file>